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verage" sheetId="1" state="visible" r:id="rId2"/>
    <sheet name="average (2)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<sst xmlns="http://schemas.openxmlformats.org/spreadsheetml/2006/main" count="97" uniqueCount="26">
  <si>
    <t xml:space="preserve">Row Labels</t>
  </si>
  <si>
    <t xml:space="preserve">Average of Score</t>
  </si>
  <si>
    <t xml:space="preserve">1 Wideband</t>
  </si>
  <si>
    <t xml:space="preserve">2 LP 3.5kHz</t>
  </si>
  <si>
    <t xml:space="preserve">3 Spline-up 7kHz</t>
  </si>
  <si>
    <t xml:space="preserve">4 Audiounet</t>
  </si>
  <si>
    <t xml:space="preserve">5 GAN</t>
  </si>
  <si>
    <t xml:space="preserve">6 HifiGAN</t>
  </si>
  <si>
    <t xml:space="preserve">Grand Total</t>
  </si>
  <si>
    <t xml:space="preserve">Count of Score</t>
  </si>
  <si>
    <t xml:space="preserve">StdDev of Score</t>
  </si>
  <si>
    <t xml:space="preserve">Cis</t>
  </si>
  <si>
    <t xml:space="preserve">Column Labels</t>
  </si>
  <si>
    <t xml:space="preserve">p347_178_</t>
  </si>
  <si>
    <t xml:space="preserve">p351_181_</t>
  </si>
  <si>
    <t xml:space="preserve">p351_284_</t>
  </si>
  <si>
    <t xml:space="preserve">p360_223_</t>
  </si>
  <si>
    <t xml:space="preserve">p361_094_</t>
  </si>
  <si>
    <t xml:space="preserve">p361_302_</t>
  </si>
  <si>
    <t xml:space="preserve">p362_125_</t>
  </si>
  <si>
    <t xml:space="preserve">p362_260_</t>
  </si>
  <si>
    <t xml:space="preserve">p363_307_</t>
  </si>
  <si>
    <t xml:space="preserve">p364_256_</t>
  </si>
  <si>
    <t xml:space="preserve">p374_028_</t>
  </si>
  <si>
    <t xml:space="preserve">p376_037_</t>
  </si>
  <si>
    <t xml:space="preserve">1 Direct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</si>
</sst>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"/>
  </numFmts>
  <fonts count="5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595959"/>
      <name val="Aptos Narrow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196B24"/>
      <rgbColor rgb="FF000080"/>
      <rgbColor rgb="FF808000"/>
      <rgbColor rgb="FF800080"/>
      <rgbColor rgb="FF095F80"/>
      <rgbColor rgb="FFC0C0C0"/>
      <rgbColor rgb="FF808080"/>
      <rgbColor rgb="FF9999FF"/>
      <rgbColor rgb="FFA02B93"/>
      <rgbColor rgb="FFFFFFCC"/>
      <rgbColor rgb="FFCCFFFF"/>
      <rgbColor rgb="FF601A58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F9ED5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7132"/>
      <rgbColor rgb="FF595959"/>
      <rgbColor rgb="FF969696"/>
      <rgbColor rgb="FF0D3A4E"/>
      <rgbColor rgb="FF4EA72E"/>
      <rgbColor rgb="FF0F4016"/>
      <rgbColor rgb="FF333300"/>
      <rgbColor rgb="FF994010"/>
      <rgbColor rgb="FF993366"/>
      <rgbColor rgb="FF333399"/>
      <rgbColor rgb="FF2F641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0</c:f>
              <c:numCache>
                <c:formatCode>General</c:formatCode>
                <c:ptCount val="6"/>
                <c:pt idx="0">
                  <c:v>96.625</c:v>
                </c:pt>
                <c:pt idx="1">
                  <c:v>23.9010416666667</c:v>
                </c:pt>
                <c:pt idx="2">
                  <c:v>55.1822916666667</c:v>
                </c:pt>
                <c:pt idx="3">
                  <c:v>64.5260416666667</c:v>
                </c:pt>
                <c:pt idx="4">
                  <c:v>82.2760416666667</c:v>
                </c:pt>
                <c:pt idx="5">
                  <c:v>50.625</c:v>
                </c:pt>
              </c:numCache>
            </c:numRef>
          </c:val>
        </c:ser>
        <c:gapWidth val="219"/>
        <c:overlap val="-27"/>
        <c:axId val="24547306"/>
        <c:axId val="35766783"/>
      </c:barChart>
      <c:catAx>
        <c:axId val="2454730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35766783"/>
        <c:crosses val="autoZero"/>
        <c:auto val="1"/>
        <c:lblAlgn val="ctr"/>
        <c:lblOffset val="100"/>
        <c:noMultiLvlLbl val="0"/>
      </c:catAx>
      <c:valAx>
        <c:axId val="35766783"/>
        <c:scaling>
          <c:orientation val="minMax"/>
          <c:max val="1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24547306"/>
        <c:crosses val="autoZero"/>
        <c:crossBetween val="between"/>
        <c:majorUnit val="20"/>
        <c:minorUnit val="10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Series1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1 Direct</c:v>
                </c:pt>
                <c:pt idx="1">
                  <c:v>2 LP 3.5kHz</c:v>
                </c:pt>
                <c:pt idx="2">
                  <c:v>3 Spline-up 7kHz</c:v>
                </c:pt>
                <c:pt idx="3">
                  <c:v>4 Audiounet</c:v>
                </c:pt>
                <c:pt idx="4">
                  <c:v>5 GAN</c:v>
                </c:pt>
                <c:pt idx="5">
                  <c:v>6 HifiGAN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6"/>
                <c:pt idx="0">
                  <c:v>98.0625</c:v>
                </c:pt>
                <c:pt idx="1">
                  <c:v>23.0625</c:v>
                </c:pt>
                <c:pt idx="2">
                  <c:v>53.3125</c:v>
                </c:pt>
                <c:pt idx="3">
                  <c:v>65.4375</c:v>
                </c:pt>
                <c:pt idx="4">
                  <c:v>84.625</c:v>
                </c:pt>
                <c:pt idx="5">
                  <c:v>47.375</c:v>
                </c:pt>
              </c:numCache>
            </c:numRef>
          </c:val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Series2</c:v>
                </c:pt>
              </c:strCache>
            </c:strRef>
          </c:tx>
          <c:spPr>
            <a:solidFill>
              <a:srgbClr val="e9713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1 Direct</c:v>
                </c:pt>
                <c:pt idx="1">
                  <c:v>2 LP 3.5kHz</c:v>
                </c:pt>
                <c:pt idx="2">
                  <c:v>3 Spline-up 7kHz</c:v>
                </c:pt>
                <c:pt idx="3">
                  <c:v>4 Audiounet</c:v>
                </c:pt>
                <c:pt idx="4">
                  <c:v>5 GAN</c:v>
                </c:pt>
                <c:pt idx="5">
                  <c:v>6 HifiGAN</c:v>
                </c:pt>
              </c:strCache>
            </c:strRef>
          </c:cat>
          <c:val>
            <c:numRef>
              <c:f>1</c:f>
              <c:numCache>
                <c:formatCode>General</c:formatCode>
                <c:ptCount val="6"/>
                <c:pt idx="0">
                  <c:v>97.5</c:v>
                </c:pt>
                <c:pt idx="1">
                  <c:v>24.75</c:v>
                </c:pt>
                <c:pt idx="2">
                  <c:v>54.875</c:v>
                </c:pt>
                <c:pt idx="3">
                  <c:v>57.75</c:v>
                </c:pt>
                <c:pt idx="4">
                  <c:v>84.1875</c:v>
                </c:pt>
                <c:pt idx="5">
                  <c:v>49.6875</c:v>
                </c:pt>
              </c:numCache>
            </c:numRef>
          </c:val>
        </c:ser>
        <c:ser>
          <c:idx val="2"/>
          <c:order val="2"/>
          <c:tx>
            <c:strRef>
              <c:f>label 2</c:f>
              <c:strCache>
                <c:ptCount val="1"/>
                <c:pt idx="0">
                  <c:v>Series3</c:v>
                </c:pt>
              </c:strCache>
            </c:strRef>
          </c:tx>
          <c:spPr>
            <a:solidFill>
              <a:srgbClr val="196b2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1 Direct</c:v>
                </c:pt>
                <c:pt idx="1">
                  <c:v>2 LP 3.5kHz</c:v>
                </c:pt>
                <c:pt idx="2">
                  <c:v>3 Spline-up 7kHz</c:v>
                </c:pt>
                <c:pt idx="3">
                  <c:v>4 Audiounet</c:v>
                </c:pt>
                <c:pt idx="4">
                  <c:v>5 GAN</c:v>
                </c:pt>
                <c:pt idx="5">
                  <c:v>6 HifiGAN</c:v>
                </c:pt>
              </c:strCache>
            </c:strRef>
          </c:cat>
          <c:val>
            <c:numRef>
              <c:f>2</c:f>
              <c:numCache>
                <c:formatCode>General</c:formatCode>
                <c:ptCount val="6"/>
                <c:pt idx="0">
                  <c:v>99.5</c:v>
                </c:pt>
                <c:pt idx="1">
                  <c:v>20.875</c:v>
                </c:pt>
                <c:pt idx="2">
                  <c:v>42.0625</c:v>
                </c:pt>
                <c:pt idx="3">
                  <c:v>59.25</c:v>
                </c:pt>
                <c:pt idx="4">
                  <c:v>80.5</c:v>
                </c:pt>
                <c:pt idx="5">
                  <c:v>47.0625</c:v>
                </c:pt>
              </c:numCache>
            </c:numRef>
          </c:val>
        </c:ser>
        <c:ser>
          <c:idx val="3"/>
          <c:order val="3"/>
          <c:tx>
            <c:strRef>
              <c:f>label 3</c:f>
              <c:strCache>
                <c:ptCount val="1"/>
                <c:pt idx="0">
                  <c:v>Series4</c:v>
                </c:pt>
              </c:strCache>
            </c:strRef>
          </c:tx>
          <c:spPr>
            <a:solidFill>
              <a:srgbClr val="0f9e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1 Direct</c:v>
                </c:pt>
                <c:pt idx="1">
                  <c:v>2 LP 3.5kHz</c:v>
                </c:pt>
                <c:pt idx="2">
                  <c:v>3 Spline-up 7kHz</c:v>
                </c:pt>
                <c:pt idx="3">
                  <c:v>4 Audiounet</c:v>
                </c:pt>
                <c:pt idx="4">
                  <c:v>5 GAN</c:v>
                </c:pt>
                <c:pt idx="5">
                  <c:v>6 HifiGAN</c:v>
                </c:pt>
              </c:strCache>
            </c:strRef>
          </c:cat>
          <c:val>
            <c:numRef>
              <c:f>3</c:f>
              <c:numCache>
                <c:formatCode>General</c:formatCode>
                <c:ptCount val="6"/>
                <c:pt idx="0">
                  <c:v>91.4375</c:v>
                </c:pt>
                <c:pt idx="1">
                  <c:v>21.8125</c:v>
                </c:pt>
                <c:pt idx="2">
                  <c:v>57.75</c:v>
                </c:pt>
                <c:pt idx="3">
                  <c:v>65.1875</c:v>
                </c:pt>
                <c:pt idx="4">
                  <c:v>81.9375</c:v>
                </c:pt>
                <c:pt idx="5">
                  <c:v>59.25</c:v>
                </c:pt>
              </c:numCache>
            </c:numRef>
          </c:val>
        </c:ser>
        <c:ser>
          <c:idx val="4"/>
          <c:order val="4"/>
          <c:tx>
            <c:strRef>
              <c:f>label 4</c:f>
              <c:strCache>
                <c:ptCount val="1"/>
                <c:pt idx="0">
                  <c:v>p361_094_</c:v>
                </c:pt>
              </c:strCache>
            </c:strRef>
          </c:tx>
          <c:spPr>
            <a:solidFill>
              <a:srgbClr val="a02b93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1 Direct</c:v>
                </c:pt>
                <c:pt idx="1">
                  <c:v>2 LP 3.5kHz</c:v>
                </c:pt>
                <c:pt idx="2">
                  <c:v>3 Spline-up 7kHz</c:v>
                </c:pt>
                <c:pt idx="3">
                  <c:v>4 Audiounet</c:v>
                </c:pt>
                <c:pt idx="4">
                  <c:v>5 GAN</c:v>
                </c:pt>
                <c:pt idx="5">
                  <c:v>6 HifiGAN</c:v>
                </c:pt>
              </c:strCache>
            </c:strRef>
          </c:cat>
          <c:val>
            <c:numRef>
              <c:f>4</c:f>
              <c:numCache>
                <c:formatCode>General</c:formatCode>
                <c:ptCount val="6"/>
                <c:pt idx="0">
                  <c:v>96.5625</c:v>
                </c:pt>
                <c:pt idx="1">
                  <c:v>24.0625</c:v>
                </c:pt>
                <c:pt idx="2">
                  <c:v>54.375</c:v>
                </c:pt>
                <c:pt idx="3">
                  <c:v>62.3125</c:v>
                </c:pt>
                <c:pt idx="4">
                  <c:v>85.75</c:v>
                </c:pt>
                <c:pt idx="5">
                  <c:v>52.375</c:v>
                </c:pt>
              </c:numCache>
            </c:numRef>
          </c:val>
        </c:ser>
        <c:ser>
          <c:idx val="5"/>
          <c:order val="5"/>
          <c:tx>
            <c:strRef>
              <c:f>label 5</c:f>
              <c:strCache>
                <c:ptCount val="1"/>
                <c:pt idx="0">
                  <c:v>Series6</c:v>
                </c:pt>
              </c:strCache>
            </c:strRef>
          </c:tx>
          <c:spPr>
            <a:solidFill>
              <a:srgbClr val="4ea72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1 Direct</c:v>
                </c:pt>
                <c:pt idx="1">
                  <c:v>2 LP 3.5kHz</c:v>
                </c:pt>
                <c:pt idx="2">
                  <c:v>3 Spline-up 7kHz</c:v>
                </c:pt>
                <c:pt idx="3">
                  <c:v>4 Audiounet</c:v>
                </c:pt>
                <c:pt idx="4">
                  <c:v>5 GAN</c:v>
                </c:pt>
                <c:pt idx="5">
                  <c:v>6 HifiGAN</c:v>
                </c:pt>
              </c:strCache>
            </c:strRef>
          </c:cat>
          <c:val>
            <c:numRef>
              <c:f>5</c:f>
              <c:numCache>
                <c:formatCode>General</c:formatCode>
                <c:ptCount val="6"/>
                <c:pt idx="0">
                  <c:v>95.3125</c:v>
                </c:pt>
                <c:pt idx="1">
                  <c:v>21.9375</c:v>
                </c:pt>
                <c:pt idx="2">
                  <c:v>56.9375</c:v>
                </c:pt>
                <c:pt idx="3">
                  <c:v>59.75</c:v>
                </c:pt>
                <c:pt idx="4">
                  <c:v>79.5625</c:v>
                </c:pt>
                <c:pt idx="5">
                  <c:v>51.9375</c:v>
                </c:pt>
              </c:numCache>
            </c:numRef>
          </c:val>
        </c:ser>
        <c:ser>
          <c:idx val="6"/>
          <c:order val="6"/>
          <c:tx>
            <c:strRef>
              <c:f>label 6</c:f>
              <c:strCache>
                <c:ptCount val="1"/>
                <c:pt idx="0">
                  <c:v>Series7</c:v>
                </c:pt>
              </c:strCache>
            </c:strRef>
          </c:tx>
          <c:spPr>
            <a:solidFill>
              <a:srgbClr val="0d3a4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1 Direct</c:v>
                </c:pt>
                <c:pt idx="1">
                  <c:v>2 LP 3.5kHz</c:v>
                </c:pt>
                <c:pt idx="2">
                  <c:v>3 Spline-up 7kHz</c:v>
                </c:pt>
                <c:pt idx="3">
                  <c:v>4 Audiounet</c:v>
                </c:pt>
                <c:pt idx="4">
                  <c:v>5 GAN</c:v>
                </c:pt>
                <c:pt idx="5">
                  <c:v>6 HifiGAN</c:v>
                </c:pt>
              </c:strCache>
            </c:strRef>
          </c:cat>
          <c:val>
            <c:numRef>
              <c:f>6</c:f>
              <c:numCache>
                <c:formatCode>General</c:formatCode>
                <c:ptCount val="6"/>
                <c:pt idx="0">
                  <c:v>96.125</c:v>
                </c:pt>
                <c:pt idx="1">
                  <c:v>24.875</c:v>
                </c:pt>
                <c:pt idx="2">
                  <c:v>50.25</c:v>
                </c:pt>
                <c:pt idx="3">
                  <c:v>69.6875</c:v>
                </c:pt>
                <c:pt idx="4">
                  <c:v>84.125</c:v>
                </c:pt>
                <c:pt idx="5">
                  <c:v>41.8125</c:v>
                </c:pt>
              </c:numCache>
            </c:numRef>
          </c:val>
        </c:ser>
        <c:ser>
          <c:idx val="7"/>
          <c:order val="7"/>
          <c:tx>
            <c:strRef>
              <c:f>label 7</c:f>
              <c:strCache>
                <c:ptCount val="1"/>
                <c:pt idx="0">
                  <c:v>Series8</c:v>
                </c:pt>
              </c:strCache>
            </c:strRef>
          </c:tx>
          <c:spPr>
            <a:solidFill>
              <a:srgbClr val="99401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1 Direct</c:v>
                </c:pt>
                <c:pt idx="1">
                  <c:v>2 LP 3.5kHz</c:v>
                </c:pt>
                <c:pt idx="2">
                  <c:v>3 Spline-up 7kHz</c:v>
                </c:pt>
                <c:pt idx="3">
                  <c:v>4 Audiounet</c:v>
                </c:pt>
                <c:pt idx="4">
                  <c:v>5 GAN</c:v>
                </c:pt>
                <c:pt idx="5">
                  <c:v>6 HifiGAN</c:v>
                </c:pt>
              </c:strCache>
            </c:strRef>
          </c:cat>
          <c:val>
            <c:numRef>
              <c:f>7</c:f>
              <c:numCache>
                <c:formatCode>General</c:formatCode>
                <c:ptCount val="6"/>
                <c:pt idx="0">
                  <c:v>98.75</c:v>
                </c:pt>
                <c:pt idx="1">
                  <c:v>22.125</c:v>
                </c:pt>
                <c:pt idx="2">
                  <c:v>49.75</c:v>
                </c:pt>
                <c:pt idx="3">
                  <c:v>67.0625</c:v>
                </c:pt>
                <c:pt idx="4">
                  <c:v>86.3125</c:v>
                </c:pt>
                <c:pt idx="5">
                  <c:v>47.375</c:v>
                </c:pt>
              </c:numCache>
            </c:numRef>
          </c:val>
        </c:ser>
        <c:ser>
          <c:idx val="8"/>
          <c:order val="8"/>
          <c:tx>
            <c:strRef>
              <c:f>label 8</c:f>
              <c:strCache>
                <c:ptCount val="1"/>
                <c:pt idx="0">
                  <c:v>Series9</c:v>
                </c:pt>
              </c:strCache>
            </c:strRef>
          </c:tx>
          <c:spPr>
            <a:solidFill>
              <a:srgbClr val="0f401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1 Direct</c:v>
                </c:pt>
                <c:pt idx="1">
                  <c:v>2 LP 3.5kHz</c:v>
                </c:pt>
                <c:pt idx="2">
                  <c:v>3 Spline-up 7kHz</c:v>
                </c:pt>
                <c:pt idx="3">
                  <c:v>4 Audiounet</c:v>
                </c:pt>
                <c:pt idx="4">
                  <c:v>5 GAN</c:v>
                </c:pt>
                <c:pt idx="5">
                  <c:v>6 HifiGAN</c:v>
                </c:pt>
              </c:strCache>
            </c:strRef>
          </c:cat>
          <c:val>
            <c:numRef>
              <c:f>8</c:f>
              <c:numCache>
                <c:formatCode>General</c:formatCode>
                <c:ptCount val="6"/>
                <c:pt idx="0">
                  <c:v>93.25</c:v>
                </c:pt>
                <c:pt idx="1">
                  <c:v>22.125</c:v>
                </c:pt>
                <c:pt idx="2">
                  <c:v>58</c:v>
                </c:pt>
                <c:pt idx="3">
                  <c:v>61.125</c:v>
                </c:pt>
                <c:pt idx="4">
                  <c:v>87.25</c:v>
                </c:pt>
                <c:pt idx="5">
                  <c:v>50.5625</c:v>
                </c:pt>
              </c:numCache>
            </c:numRef>
          </c:val>
        </c:ser>
        <c:ser>
          <c:idx val="9"/>
          <c:order val="9"/>
          <c:tx>
            <c:strRef>
              <c:f>label 9</c:f>
              <c:strCache>
                <c:ptCount val="1"/>
                <c:pt idx="0">
                  <c:v>Series10</c:v>
                </c:pt>
              </c:strCache>
            </c:strRef>
          </c:tx>
          <c:spPr>
            <a:solidFill>
              <a:srgbClr val="095f8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1 Direct</c:v>
                </c:pt>
                <c:pt idx="1">
                  <c:v>2 LP 3.5kHz</c:v>
                </c:pt>
                <c:pt idx="2">
                  <c:v>3 Spline-up 7kHz</c:v>
                </c:pt>
                <c:pt idx="3">
                  <c:v>4 Audiounet</c:v>
                </c:pt>
                <c:pt idx="4">
                  <c:v>5 GAN</c:v>
                </c:pt>
                <c:pt idx="5">
                  <c:v>6 HifiGAN</c:v>
                </c:pt>
              </c:strCache>
            </c:strRef>
          </c:cat>
          <c:val>
            <c:numRef>
              <c:f>9</c:f>
              <c:numCache>
                <c:formatCode>General</c:formatCode>
                <c:ptCount val="6"/>
                <c:pt idx="0">
                  <c:v>96.4375</c:v>
                </c:pt>
                <c:pt idx="1">
                  <c:v>26</c:v>
                </c:pt>
                <c:pt idx="2">
                  <c:v>57.8125</c:v>
                </c:pt>
                <c:pt idx="3">
                  <c:v>68</c:v>
                </c:pt>
                <c:pt idx="4">
                  <c:v>71.25</c:v>
                </c:pt>
                <c:pt idx="5">
                  <c:v>47.4375</c:v>
                </c:pt>
              </c:numCache>
            </c:numRef>
          </c:val>
        </c:ser>
        <c:ser>
          <c:idx val="10"/>
          <c:order val="10"/>
          <c:tx>
            <c:strRef>
              <c:f>label 10</c:f>
              <c:strCache>
                <c:ptCount val="1"/>
                <c:pt idx="0">
                  <c:v>Series11</c:v>
                </c:pt>
              </c:strCache>
            </c:strRef>
          </c:tx>
          <c:spPr>
            <a:solidFill>
              <a:srgbClr val="601a58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1 Direct</c:v>
                </c:pt>
                <c:pt idx="1">
                  <c:v>2 LP 3.5kHz</c:v>
                </c:pt>
                <c:pt idx="2">
                  <c:v>3 Spline-up 7kHz</c:v>
                </c:pt>
                <c:pt idx="3">
                  <c:v>4 Audiounet</c:v>
                </c:pt>
                <c:pt idx="4">
                  <c:v>5 GAN</c:v>
                </c:pt>
                <c:pt idx="5">
                  <c:v>6 HifiGAN</c:v>
                </c:pt>
              </c:strCache>
            </c:strRef>
          </c:cat>
          <c:val>
            <c:numRef>
              <c:f>10</c:f>
              <c:numCache>
                <c:formatCode>General</c:formatCode>
                <c:ptCount val="6"/>
                <c:pt idx="0">
                  <c:v>97.625</c:v>
                </c:pt>
                <c:pt idx="1">
                  <c:v>30</c:v>
                </c:pt>
                <c:pt idx="2">
                  <c:v>62.0625</c:v>
                </c:pt>
                <c:pt idx="3">
                  <c:v>67.0625</c:v>
                </c:pt>
                <c:pt idx="4">
                  <c:v>82</c:v>
                </c:pt>
                <c:pt idx="5">
                  <c:v>52.375</c:v>
                </c:pt>
              </c:numCache>
            </c:numRef>
          </c:val>
        </c:ser>
        <c:ser>
          <c:idx val="11"/>
          <c:order val="11"/>
          <c:tx>
            <c:strRef>
              <c:f>label 11</c:f>
              <c:strCache>
                <c:ptCount val="1"/>
                <c:pt idx="0">
                  <c:v>Series12</c:v>
                </c:pt>
              </c:strCache>
            </c:strRef>
          </c:tx>
          <c:spPr>
            <a:solidFill>
              <a:srgbClr val="2f641c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1 Direct</c:v>
                </c:pt>
                <c:pt idx="1">
                  <c:v>2 LP 3.5kHz</c:v>
                </c:pt>
                <c:pt idx="2">
                  <c:v>3 Spline-up 7kHz</c:v>
                </c:pt>
                <c:pt idx="3">
                  <c:v>4 Audiounet</c:v>
                </c:pt>
                <c:pt idx="4">
                  <c:v>5 GAN</c:v>
                </c:pt>
                <c:pt idx="5">
                  <c:v>6 HifiGAN</c:v>
                </c:pt>
              </c:strCache>
            </c:strRef>
          </c:cat>
          <c:val>
            <c:numRef>
              <c:f>11</c:f>
              <c:numCache>
                <c:formatCode>General</c:formatCode>
                <c:ptCount val="6"/>
                <c:pt idx="0">
                  <c:v>98.9375</c:v>
                </c:pt>
                <c:pt idx="1">
                  <c:v>25.1875</c:v>
                </c:pt>
                <c:pt idx="2">
                  <c:v>65</c:v>
                </c:pt>
                <c:pt idx="3">
                  <c:v>71.6875</c:v>
                </c:pt>
                <c:pt idx="4">
                  <c:v>79.8125</c:v>
                </c:pt>
                <c:pt idx="5">
                  <c:v>60.25</c:v>
                </c:pt>
              </c:numCache>
            </c:numRef>
          </c:val>
        </c:ser>
        <c:gapWidth val="219"/>
        <c:overlap val="-27"/>
        <c:axId val="62926616"/>
        <c:axId val="20279305"/>
      </c:barChart>
      <c:catAx>
        <c:axId val="629266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20279305"/>
        <c:crosses val="autoZero"/>
        <c:auto val="1"/>
        <c:lblAlgn val="ctr"/>
        <c:lblOffset val="100"/>
        <c:noMultiLvlLbl val="0"/>
      </c:catAx>
      <c:valAx>
        <c:axId val="20279305"/>
        <c:scaling>
          <c:orientation val="minMax"/>
          <c:max val="1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62926616"/>
        <c:crosses val="autoZero"/>
        <c:crossBetween val="between"/>
        <c:majorUnit val="20"/>
        <c:minorUnit val="10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495360</xdr:colOff>
      <xdr:row>1</xdr:row>
      <xdr:rowOff>0</xdr:rowOff>
    </xdr:from>
    <xdr:to>
      <xdr:col>16</xdr:col>
      <xdr:colOff>275760</xdr:colOff>
      <xdr:row>34</xdr:row>
      <xdr:rowOff>47160</xdr:rowOff>
    </xdr:to>
    <xdr:graphicFrame>
      <xdr:nvGraphicFramePr>
        <xdr:cNvPr id="0" name="Chart 1"/>
        <xdr:cNvGraphicFramePr/>
      </xdr:nvGraphicFramePr>
      <xdr:xfrm>
        <a:off x="3314520" y="190440"/>
        <a:ext cx="14132160" cy="6333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181080</xdr:colOff>
      <xdr:row>1</xdr:row>
      <xdr:rowOff>114480</xdr:rowOff>
    </xdr:from>
    <xdr:to>
      <xdr:col>27</xdr:col>
      <xdr:colOff>447480</xdr:colOff>
      <xdr:row>34</xdr:row>
      <xdr:rowOff>161640</xdr:rowOff>
    </xdr:to>
    <xdr:graphicFrame>
      <xdr:nvGraphicFramePr>
        <xdr:cNvPr id="1" name="Chart 1"/>
        <xdr:cNvGraphicFramePr/>
      </xdr:nvGraphicFramePr>
      <xdr:xfrm>
        <a:off x="13706280" y="304920"/>
        <a:ext cx="11823480" cy="6333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3:B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5.57"/>
    <col collapsed="false" customWidth="true" hidden="false" outlineLevel="0" max="2" min="2" style="0" width="16.14"/>
    <col collapsed="false" customWidth="true" hidden="false" outlineLevel="0" max="3" min="3" style="0" width="10.85"/>
    <col collapsed="false" customWidth="true" hidden="false" outlineLevel="0" max="4" min="4" style="0" width="8"/>
    <col collapsed="false" customWidth="true" hidden="false" outlineLevel="0" max="5" min="5" style="0" width="13.85"/>
    <col collapsed="false" customWidth="true" hidden="false" outlineLevel="0" max="6" min="6" style="0" width="11.85"/>
    <col collapsed="false" customWidth="true" hidden="false" outlineLevel="0" max="7" min="7" style="0" width="7.71"/>
    <col collapsed="false" customWidth="true" hidden="false" outlineLevel="0" max="8" min="8" style="0" width="9.43"/>
    <col collapsed="false" customWidth="true" hidden="false" outlineLevel="0" max="9" min="9" style="0" width="11.71"/>
    <col collapsed="false" customWidth="true" hidden="false" outlineLevel="0" max="10" min="10" style="0" width="12.85"/>
    <col collapsed="false" customWidth="true" hidden="false" outlineLevel="0" max="11" min="11" style="0" width="12.71"/>
    <col collapsed="false" customWidth="true" hidden="false" outlineLevel="0" max="12" min="12" style="0" width="16"/>
    <col collapsed="false" customWidth="true" hidden="false" outlineLevel="0" max="13" min="13" style="0" width="12.85"/>
    <col collapsed="false" customWidth="true" hidden="false" outlineLevel="0" max="14" min="14" style="0" width="11.14"/>
    <col collapsed="false" customWidth="true" hidden="false" outlineLevel="0" max="15" min="15" style="0" width="13.28"/>
    <col collapsed="false" customWidth="true" hidden="false" outlineLevel="0" max="16" min="16" style="0" width="9.14"/>
    <col collapsed="false" customWidth="true" hidden="false" outlineLevel="0" max="17" min="17" style="0" width="12.85"/>
    <col collapsed="false" customWidth="true" hidden="false" outlineLevel="0" max="18" min="18" style="0" width="15.14"/>
    <col collapsed="false" customWidth="true" hidden="false" outlineLevel="0" max="19" min="19" style="0" width="11.28"/>
  </cols>
  <sheetData>
    <row r="3" customFormat="false" ht="15" hidden="false" customHeight="false" outlineLevel="0" collapsed="false">
      <c r="A3" s="1" t="s">
        <v>0</v>
      </c>
      <c r="B3" s="0" t="s">
        <v>1</v>
      </c>
    </row>
    <row r="4" customFormat="false" ht="15" hidden="false" customHeight="false" outlineLevel="0" collapsed="false">
      <c r="A4" s="2" t="s">
        <v>2</v>
      </c>
      <c r="B4" s="3" t="n">
        <v>96.625</v>
      </c>
    </row>
    <row r="5" customFormat="false" ht="15" hidden="false" customHeight="false" outlineLevel="0" collapsed="false">
      <c r="A5" s="2" t="s">
        <v>3</v>
      </c>
      <c r="B5" s="3" t="n">
        <v>23.9010416666667</v>
      </c>
    </row>
    <row r="6" customFormat="false" ht="15" hidden="false" customHeight="false" outlineLevel="0" collapsed="false">
      <c r="A6" s="2" t="s">
        <v>4</v>
      </c>
      <c r="B6" s="3" t="n">
        <v>55.1822916666667</v>
      </c>
    </row>
    <row r="7" customFormat="false" ht="15" hidden="false" customHeight="false" outlineLevel="0" collapsed="false">
      <c r="A7" s="2" t="s">
        <v>5</v>
      </c>
      <c r="B7" s="3" t="n">
        <v>64.5260416666667</v>
      </c>
    </row>
    <row r="8" customFormat="false" ht="15" hidden="false" customHeight="false" outlineLevel="0" collapsed="false">
      <c r="A8" s="2" t="s">
        <v>6</v>
      </c>
      <c r="B8" s="3" t="n">
        <v>82.2760416666667</v>
      </c>
    </row>
    <row r="9" customFormat="false" ht="15" hidden="false" customHeight="false" outlineLevel="0" collapsed="false">
      <c r="A9" s="2" t="s">
        <v>7</v>
      </c>
      <c r="B9" s="3" t="n">
        <v>50.625</v>
      </c>
    </row>
    <row r="10" customFormat="false" ht="15" hidden="false" customHeight="false" outlineLevel="0" collapsed="false">
      <c r="A10" s="2" t="s">
        <v>8</v>
      </c>
      <c r="B10" s="3" t="n">
        <v>62.1892361111111</v>
      </c>
    </row>
    <row r="14" customFormat="false" ht="15" hidden="false" customHeight="false" outlineLevel="0" collapsed="false">
      <c r="A14" s="1" t="s">
        <v>0</v>
      </c>
      <c r="B14" s="0" t="s">
        <v>9</v>
      </c>
    </row>
    <row r="15" customFormat="false" ht="15" hidden="false" customHeight="false" outlineLevel="0" collapsed="false">
      <c r="A15" s="2" t="s">
        <v>2</v>
      </c>
      <c r="B15" s="0" t="n">
        <v>192</v>
      </c>
    </row>
    <row r="16" customFormat="false" ht="15" hidden="false" customHeight="false" outlineLevel="0" collapsed="false">
      <c r="A16" s="2" t="s">
        <v>3</v>
      </c>
      <c r="B16" s="0" t="n">
        <v>192</v>
      </c>
    </row>
    <row r="17" customFormat="false" ht="15" hidden="false" customHeight="false" outlineLevel="0" collapsed="false">
      <c r="A17" s="2" t="s">
        <v>4</v>
      </c>
      <c r="B17" s="0" t="n">
        <v>192</v>
      </c>
    </row>
    <row r="18" customFormat="false" ht="15" hidden="false" customHeight="false" outlineLevel="0" collapsed="false">
      <c r="A18" s="2" t="s">
        <v>5</v>
      </c>
      <c r="B18" s="0" t="n">
        <v>192</v>
      </c>
    </row>
    <row r="19" customFormat="false" ht="15" hidden="false" customHeight="false" outlineLevel="0" collapsed="false">
      <c r="A19" s="2" t="s">
        <v>6</v>
      </c>
      <c r="B19" s="0" t="n">
        <v>192</v>
      </c>
    </row>
    <row r="20" customFormat="false" ht="15" hidden="false" customHeight="false" outlineLevel="0" collapsed="false">
      <c r="A20" s="2" t="s">
        <v>7</v>
      </c>
      <c r="B20" s="0" t="n">
        <v>192</v>
      </c>
    </row>
    <row r="21" customFormat="false" ht="15" hidden="false" customHeight="false" outlineLevel="0" collapsed="false">
      <c r="A21" s="2" t="s">
        <v>8</v>
      </c>
      <c r="B21" s="0" t="n">
        <v>1152</v>
      </c>
    </row>
    <row r="25" customFormat="false" ht="15" hidden="false" customHeight="false" outlineLevel="0" collapsed="false">
      <c r="A25" s="1" t="s">
        <v>0</v>
      </c>
      <c r="B25" s="0" t="s">
        <v>10</v>
      </c>
    </row>
    <row r="26" customFormat="false" ht="15" hidden="false" customHeight="false" outlineLevel="0" collapsed="false">
      <c r="A26" s="2" t="s">
        <v>2</v>
      </c>
      <c r="B26" s="3" t="n">
        <v>10.2126602469372</v>
      </c>
    </row>
    <row r="27" customFormat="false" ht="15" hidden="false" customHeight="false" outlineLevel="0" collapsed="false">
      <c r="A27" s="2" t="s">
        <v>3</v>
      </c>
      <c r="B27" s="3" t="n">
        <v>14.5197319779084</v>
      </c>
    </row>
    <row r="28" customFormat="false" ht="15" hidden="false" customHeight="false" outlineLevel="0" collapsed="false">
      <c r="A28" s="2" t="s">
        <v>4</v>
      </c>
      <c r="B28" s="3" t="n">
        <v>15.9581618880879</v>
      </c>
    </row>
    <row r="29" customFormat="false" ht="15" hidden="false" customHeight="false" outlineLevel="0" collapsed="false">
      <c r="A29" s="2" t="s">
        <v>5</v>
      </c>
      <c r="B29" s="3" t="n">
        <v>14.6844416350905</v>
      </c>
    </row>
    <row r="30" customFormat="false" ht="15" hidden="false" customHeight="false" outlineLevel="0" collapsed="false">
      <c r="A30" s="2" t="s">
        <v>6</v>
      </c>
      <c r="B30" s="3" t="n">
        <v>18.4842326740385</v>
      </c>
    </row>
    <row r="31" customFormat="false" ht="15" hidden="false" customHeight="false" outlineLevel="0" collapsed="false">
      <c r="A31" s="2" t="s">
        <v>7</v>
      </c>
      <c r="B31" s="3" t="n">
        <v>23.8291255637065</v>
      </c>
    </row>
    <row r="32" customFormat="false" ht="15" hidden="false" customHeight="false" outlineLevel="0" collapsed="false">
      <c r="A32" s="2" t="s">
        <v>8</v>
      </c>
      <c r="B32" s="3" t="n">
        <v>28.6761895273833</v>
      </c>
    </row>
    <row r="36" customFormat="false" ht="15" hidden="false" customHeight="false" outlineLevel="0" collapsed="false">
      <c r="B36" s="0" t="s">
        <v>11</v>
      </c>
    </row>
    <row r="37" customFormat="false" ht="15" hidden="false" customHeight="false" outlineLevel="0" collapsed="false">
      <c r="A37" s="0" t="str">
        <f aca="false">A26</f>
        <v>1 Wideband</v>
      </c>
      <c r="B37" s="3" t="n">
        <f aca="false">_xlfn.CONFIDENCE.NORM(0.05,B26,B15)</f>
        <v>1.44456258030012</v>
      </c>
    </row>
    <row r="38" customFormat="false" ht="15" hidden="false" customHeight="false" outlineLevel="0" collapsed="false">
      <c r="A38" s="0" t="str">
        <f aca="false">A27</f>
        <v>2 LP 3.5kHz</v>
      </c>
      <c r="B38" s="3" t="n">
        <f aca="false">_xlfn.CONFIDENCE.NORM(0.05,B27,B16)</f>
        <v>2.05379019610135</v>
      </c>
    </row>
    <row r="39" customFormat="false" ht="15" hidden="false" customHeight="false" outlineLevel="0" collapsed="false">
      <c r="A39" s="0" t="str">
        <f aca="false">A28</f>
        <v>3 Spline-up 7kHz</v>
      </c>
      <c r="B39" s="3" t="n">
        <f aca="false">_xlfn.CONFIDENCE.NORM(0.05,B28,B17)</f>
        <v>2.2572535418298</v>
      </c>
    </row>
    <row r="40" customFormat="false" ht="15" hidden="false" customHeight="false" outlineLevel="0" collapsed="false">
      <c r="A40" s="0" t="str">
        <f aca="false">A29</f>
        <v>4 Audiounet</v>
      </c>
      <c r="B40" s="3" t="n">
        <f aca="false">_xlfn.CONFIDENCE.NORM(0.05,B29,B18)</f>
        <v>2.07708808339283</v>
      </c>
    </row>
    <row r="41" customFormat="false" ht="15" hidden="false" customHeight="false" outlineLevel="0" collapsed="false">
      <c r="A41" s="0" t="str">
        <f aca="false">A30</f>
        <v>5 GAN</v>
      </c>
      <c r="B41" s="3" t="n">
        <f aca="false">_xlfn.CONFIDENCE.NORM(0.05,B30,B19)</f>
        <v>2.61456174991083</v>
      </c>
    </row>
    <row r="42" customFormat="false" ht="15" hidden="false" customHeight="false" outlineLevel="0" collapsed="false">
      <c r="A42" s="0" t="str">
        <f aca="false">A31</f>
        <v>6 HifiGAN</v>
      </c>
      <c r="B42" s="3" t="n">
        <f aca="false">_xlfn.CONFIDENCE.NORM(0.05,B31,B20)</f>
        <v>3.37058731792501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3:N42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C29" activeCellId="0" sqref="C29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5.57"/>
    <col collapsed="false" customWidth="true" hidden="false" outlineLevel="0" max="2" min="2" style="0" width="16.85"/>
    <col collapsed="false" customWidth="true" hidden="false" outlineLevel="0" max="13" min="3" style="0" width="9.85"/>
    <col collapsed="false" customWidth="true" hidden="false" outlineLevel="0" max="14" min="14" style="0" width="11.28"/>
    <col collapsed="false" customWidth="true" hidden="false" outlineLevel="0" max="15" min="15" style="0" width="13.28"/>
    <col collapsed="false" customWidth="true" hidden="false" outlineLevel="0" max="16" min="16" style="0" width="9.14"/>
    <col collapsed="false" customWidth="true" hidden="false" outlineLevel="0" max="17" min="17" style="0" width="12.85"/>
    <col collapsed="false" customWidth="true" hidden="false" outlineLevel="0" max="18" min="18" style="0" width="15.14"/>
    <col collapsed="false" customWidth="true" hidden="false" outlineLevel="0" max="19" min="19" style="0" width="11.28"/>
  </cols>
  <sheetData>
    <row r="3" customFormat="false" ht="15" hidden="false" customHeight="false" outlineLevel="0" collapsed="false">
      <c r="A3" s="1" t="s">
        <v>1</v>
      </c>
      <c r="B3" s="1" t="s">
        <v>12</v>
      </c>
    </row>
    <row r="4" customFormat="false" ht="15" hidden="false" customHeight="false" outlineLevel="0" collapsed="false">
      <c r="A4" s="1" t="s">
        <v>0</v>
      </c>
      <c r="B4" s="0" t="s">
        <v>13</v>
      </c>
      <c r="C4" s="0" t="s">
        <v>14</v>
      </c>
      <c r="D4" s="0" t="s">
        <v>15</v>
      </c>
      <c r="E4" s="0" t="s">
        <v>16</v>
      </c>
      <c r="F4" s="0" t="s">
        <v>17</v>
      </c>
      <c r="G4" s="0" t="s">
        <v>18</v>
      </c>
      <c r="H4" s="0" t="s">
        <v>19</v>
      </c>
      <c r="I4" s="0" t="s">
        <v>20</v>
      </c>
      <c r="J4" s="0" t="s">
        <v>21</v>
      </c>
      <c r="K4" s="0" t="s">
        <v>22</v>
      </c>
      <c r="L4" s="0" t="s">
        <v>23</v>
      </c>
      <c r="M4" s="0" t="s">
        <v>24</v>
      </c>
      <c r="N4" s="0" t="s">
        <v>8</v>
      </c>
    </row>
    <row r="5" customFormat="false" ht="15" hidden="false" customHeight="false" outlineLevel="0" collapsed="false">
      <c r="A5" s="2" t="s">
        <v>25</v>
      </c>
      <c r="B5" s="3" t="n">
        <v>98.0625</v>
      </c>
      <c r="C5" s="3" t="n">
        <v>97.5</v>
      </c>
      <c r="D5" s="3" t="n">
        <v>99.5</v>
      </c>
      <c r="E5" s="3" t="n">
        <v>91.4375</v>
      </c>
      <c r="F5" s="3" t="n">
        <v>96.5625</v>
      </c>
      <c r="G5" s="3" t="n">
        <v>95.3125</v>
      </c>
      <c r="H5" s="3" t="n">
        <v>96.125</v>
      </c>
      <c r="I5" s="3" t="n">
        <v>98.75</v>
      </c>
      <c r="J5" s="3" t="n">
        <v>93.25</v>
      </c>
      <c r="K5" s="3" t="n">
        <v>96.4375</v>
      </c>
      <c r="L5" s="3" t="n">
        <v>97.625</v>
      </c>
      <c r="M5" s="3" t="n">
        <v>98.9375</v>
      </c>
      <c r="N5" s="3" t="n">
        <v>96.625</v>
      </c>
    </row>
    <row r="6" customFormat="false" ht="15" hidden="false" customHeight="false" outlineLevel="0" collapsed="false">
      <c r="A6" s="2" t="s">
        <v>3</v>
      </c>
      <c r="B6" s="3" t="n">
        <v>23.0625</v>
      </c>
      <c r="C6" s="3" t="n">
        <v>24.75</v>
      </c>
      <c r="D6" s="3" t="n">
        <v>20.875</v>
      </c>
      <c r="E6" s="3" t="n">
        <v>21.8125</v>
      </c>
      <c r="F6" s="3" t="n">
        <v>24.0625</v>
      </c>
      <c r="G6" s="3" t="n">
        <v>21.9375</v>
      </c>
      <c r="H6" s="3" t="n">
        <v>24.875</v>
      </c>
      <c r="I6" s="3" t="n">
        <v>22.125</v>
      </c>
      <c r="J6" s="3" t="n">
        <v>22.125</v>
      </c>
      <c r="K6" s="3" t="n">
        <v>26</v>
      </c>
      <c r="L6" s="3" t="n">
        <v>30</v>
      </c>
      <c r="M6" s="3" t="n">
        <v>25.1875</v>
      </c>
      <c r="N6" s="3" t="n">
        <v>23.9010416666667</v>
      </c>
    </row>
    <row r="7" customFormat="false" ht="15" hidden="false" customHeight="false" outlineLevel="0" collapsed="false">
      <c r="A7" s="2" t="s">
        <v>4</v>
      </c>
      <c r="B7" s="3" t="n">
        <v>53.3125</v>
      </c>
      <c r="C7" s="3" t="n">
        <v>54.875</v>
      </c>
      <c r="D7" s="3" t="n">
        <v>42.0625</v>
      </c>
      <c r="E7" s="3" t="n">
        <v>57.75</v>
      </c>
      <c r="F7" s="3" t="n">
        <v>54.375</v>
      </c>
      <c r="G7" s="3" t="n">
        <v>56.9375</v>
      </c>
      <c r="H7" s="3" t="n">
        <v>50.25</v>
      </c>
      <c r="I7" s="3" t="n">
        <v>49.75</v>
      </c>
      <c r="J7" s="3" t="n">
        <v>58</v>
      </c>
      <c r="K7" s="3" t="n">
        <v>57.8125</v>
      </c>
      <c r="L7" s="3" t="n">
        <v>62.0625</v>
      </c>
      <c r="M7" s="3" t="n">
        <v>65</v>
      </c>
      <c r="N7" s="3" t="n">
        <v>55.1822916666667</v>
      </c>
    </row>
    <row r="8" customFormat="false" ht="15" hidden="false" customHeight="false" outlineLevel="0" collapsed="false">
      <c r="A8" s="2" t="s">
        <v>5</v>
      </c>
      <c r="B8" s="3" t="n">
        <v>65.4375</v>
      </c>
      <c r="C8" s="3" t="n">
        <v>57.75</v>
      </c>
      <c r="D8" s="3" t="n">
        <v>59.25</v>
      </c>
      <c r="E8" s="3" t="n">
        <v>65.1875</v>
      </c>
      <c r="F8" s="3" t="n">
        <v>62.3125</v>
      </c>
      <c r="G8" s="3" t="n">
        <v>59.75</v>
      </c>
      <c r="H8" s="3" t="n">
        <v>69.6875</v>
      </c>
      <c r="I8" s="3" t="n">
        <v>67.0625</v>
      </c>
      <c r="J8" s="3" t="n">
        <v>61.125</v>
      </c>
      <c r="K8" s="3" t="n">
        <v>68</v>
      </c>
      <c r="L8" s="3" t="n">
        <v>67.0625</v>
      </c>
      <c r="M8" s="3" t="n">
        <v>71.6875</v>
      </c>
      <c r="N8" s="3" t="n">
        <v>64.5260416666667</v>
      </c>
    </row>
    <row r="9" customFormat="false" ht="15" hidden="false" customHeight="false" outlineLevel="0" collapsed="false">
      <c r="A9" s="2" t="s">
        <v>6</v>
      </c>
      <c r="B9" s="3" t="n">
        <v>84.625</v>
      </c>
      <c r="C9" s="3" t="n">
        <v>84.1875</v>
      </c>
      <c r="D9" s="3" t="n">
        <v>80.5</v>
      </c>
      <c r="E9" s="3" t="n">
        <v>81.9375</v>
      </c>
      <c r="F9" s="3" t="n">
        <v>85.75</v>
      </c>
      <c r="G9" s="3" t="n">
        <v>79.5625</v>
      </c>
      <c r="H9" s="3" t="n">
        <v>84.125</v>
      </c>
      <c r="I9" s="3" t="n">
        <v>86.3125</v>
      </c>
      <c r="J9" s="3" t="n">
        <v>87.25</v>
      </c>
      <c r="K9" s="3" t="n">
        <v>71.25</v>
      </c>
      <c r="L9" s="3" t="n">
        <v>82</v>
      </c>
      <c r="M9" s="3" t="n">
        <v>79.8125</v>
      </c>
      <c r="N9" s="3" t="n">
        <v>82.2760416666667</v>
      </c>
    </row>
    <row r="10" customFormat="false" ht="15" hidden="false" customHeight="false" outlineLevel="0" collapsed="false">
      <c r="A10" s="2" t="s">
        <v>7</v>
      </c>
      <c r="B10" s="3" t="n">
        <v>47.375</v>
      </c>
      <c r="C10" s="3" t="n">
        <v>49.6875</v>
      </c>
      <c r="D10" s="3" t="n">
        <v>47.0625</v>
      </c>
      <c r="E10" s="3" t="n">
        <v>59.25</v>
      </c>
      <c r="F10" s="3" t="n">
        <v>52.375</v>
      </c>
      <c r="G10" s="3" t="n">
        <v>51.9375</v>
      </c>
      <c r="H10" s="3" t="n">
        <v>41.8125</v>
      </c>
      <c r="I10" s="3" t="n">
        <v>47.375</v>
      </c>
      <c r="J10" s="3" t="n">
        <v>50.5625</v>
      </c>
      <c r="K10" s="3" t="n">
        <v>47.4375</v>
      </c>
      <c r="L10" s="3" t="n">
        <v>52.375</v>
      </c>
      <c r="M10" s="3" t="n">
        <v>60.25</v>
      </c>
      <c r="N10" s="3" t="n">
        <v>50.625</v>
      </c>
    </row>
    <row r="11" customFormat="false" ht="15" hidden="false" customHeight="false" outlineLevel="0" collapsed="false">
      <c r="A11" s="2" t="s">
        <v>8</v>
      </c>
      <c r="B11" s="3" t="n">
        <v>61.9791666666667</v>
      </c>
      <c r="C11" s="3" t="n">
        <v>61.4583333333333</v>
      </c>
      <c r="D11" s="3" t="n">
        <v>58.2083333333333</v>
      </c>
      <c r="E11" s="3" t="n">
        <v>62.8958333333333</v>
      </c>
      <c r="F11" s="3" t="n">
        <v>62.5729166666667</v>
      </c>
      <c r="G11" s="3" t="n">
        <v>60.90625</v>
      </c>
      <c r="H11" s="3" t="n">
        <v>61.1458333333333</v>
      </c>
      <c r="I11" s="3" t="n">
        <v>61.8958333333333</v>
      </c>
      <c r="J11" s="3" t="n">
        <v>62.0520833333333</v>
      </c>
      <c r="K11" s="3" t="n">
        <v>61.15625</v>
      </c>
      <c r="L11" s="3" t="n">
        <v>65.1875</v>
      </c>
      <c r="M11" s="3" t="n">
        <v>66.8125</v>
      </c>
      <c r="N11" s="3" t="n">
        <v>62.1892361111111</v>
      </c>
    </row>
    <row r="14" customFormat="false" ht="15" hidden="false" customHeight="false" outlineLevel="0" collapsed="false">
      <c r="A14" s="1" t="s">
        <v>9</v>
      </c>
      <c r="B14" s="1" t="s">
        <v>12</v>
      </c>
    </row>
    <row r="15" customFormat="false" ht="15" hidden="false" customHeight="false" outlineLevel="0" collapsed="false">
      <c r="A15" s="1" t="s">
        <v>0</v>
      </c>
      <c r="B15" s="0" t="s">
        <v>13</v>
      </c>
      <c r="C15" s="0" t="s">
        <v>14</v>
      </c>
      <c r="D15" s="0" t="s">
        <v>15</v>
      </c>
      <c r="E15" s="0" t="s">
        <v>16</v>
      </c>
      <c r="F15" s="0" t="s">
        <v>17</v>
      </c>
      <c r="G15" s="0" t="s">
        <v>18</v>
      </c>
      <c r="H15" s="0" t="s">
        <v>19</v>
      </c>
      <c r="I15" s="0" t="s">
        <v>20</v>
      </c>
      <c r="J15" s="0" t="s">
        <v>21</v>
      </c>
      <c r="K15" s="0" t="s">
        <v>22</v>
      </c>
      <c r="L15" s="0" t="s">
        <v>23</v>
      </c>
      <c r="M15" s="0" t="s">
        <v>24</v>
      </c>
      <c r="N15" s="0" t="s">
        <v>8</v>
      </c>
    </row>
    <row r="16" customFormat="false" ht="15" hidden="false" customHeight="false" outlineLevel="0" collapsed="false">
      <c r="A16" s="2" t="s">
        <v>25</v>
      </c>
      <c r="B16" s="0" t="n">
        <v>16</v>
      </c>
      <c r="C16" s="0" t="n">
        <v>16</v>
      </c>
      <c r="D16" s="0" t="n">
        <v>16</v>
      </c>
      <c r="E16" s="0" t="n">
        <v>16</v>
      </c>
      <c r="F16" s="0" t="n">
        <v>16</v>
      </c>
      <c r="G16" s="0" t="n">
        <v>16</v>
      </c>
      <c r="H16" s="0" t="n">
        <v>16</v>
      </c>
      <c r="I16" s="0" t="n">
        <v>16</v>
      </c>
      <c r="J16" s="0" t="n">
        <v>16</v>
      </c>
      <c r="K16" s="0" t="n">
        <v>16</v>
      </c>
      <c r="L16" s="0" t="n">
        <v>16</v>
      </c>
      <c r="M16" s="0" t="n">
        <v>16</v>
      </c>
      <c r="N16" s="0" t="n">
        <v>192</v>
      </c>
    </row>
    <row r="17" customFormat="false" ht="15" hidden="false" customHeight="false" outlineLevel="0" collapsed="false">
      <c r="A17" s="2" t="s">
        <v>3</v>
      </c>
      <c r="B17" s="0" t="n">
        <v>16</v>
      </c>
      <c r="C17" s="0" t="n">
        <v>16</v>
      </c>
      <c r="D17" s="0" t="n">
        <v>16</v>
      </c>
      <c r="E17" s="0" t="n">
        <v>16</v>
      </c>
      <c r="F17" s="0" t="n">
        <v>16</v>
      </c>
      <c r="G17" s="0" t="n">
        <v>16</v>
      </c>
      <c r="H17" s="0" t="n">
        <v>16</v>
      </c>
      <c r="I17" s="0" t="n">
        <v>16</v>
      </c>
      <c r="J17" s="0" t="n">
        <v>16</v>
      </c>
      <c r="K17" s="0" t="n">
        <v>16</v>
      </c>
      <c r="L17" s="0" t="n">
        <v>16</v>
      </c>
      <c r="M17" s="0" t="n">
        <v>16</v>
      </c>
      <c r="N17" s="0" t="n">
        <v>192</v>
      </c>
    </row>
    <row r="18" customFormat="false" ht="15" hidden="false" customHeight="false" outlineLevel="0" collapsed="false">
      <c r="A18" s="2" t="s">
        <v>4</v>
      </c>
      <c r="B18" s="0" t="n">
        <v>16</v>
      </c>
      <c r="C18" s="0" t="n">
        <v>16</v>
      </c>
      <c r="D18" s="0" t="n">
        <v>16</v>
      </c>
      <c r="E18" s="0" t="n">
        <v>16</v>
      </c>
      <c r="F18" s="0" t="n">
        <v>16</v>
      </c>
      <c r="G18" s="0" t="n">
        <v>16</v>
      </c>
      <c r="H18" s="0" t="n">
        <v>16</v>
      </c>
      <c r="I18" s="0" t="n">
        <v>16</v>
      </c>
      <c r="J18" s="0" t="n">
        <v>16</v>
      </c>
      <c r="K18" s="0" t="n">
        <v>16</v>
      </c>
      <c r="L18" s="0" t="n">
        <v>16</v>
      </c>
      <c r="M18" s="0" t="n">
        <v>16</v>
      </c>
      <c r="N18" s="0" t="n">
        <v>192</v>
      </c>
    </row>
    <row r="19" customFormat="false" ht="15" hidden="false" customHeight="false" outlineLevel="0" collapsed="false">
      <c r="A19" s="2" t="s">
        <v>5</v>
      </c>
      <c r="B19" s="0" t="n">
        <v>16</v>
      </c>
      <c r="C19" s="0" t="n">
        <v>16</v>
      </c>
      <c r="D19" s="0" t="n">
        <v>16</v>
      </c>
      <c r="E19" s="0" t="n">
        <v>16</v>
      </c>
      <c r="F19" s="0" t="n">
        <v>16</v>
      </c>
      <c r="G19" s="0" t="n">
        <v>16</v>
      </c>
      <c r="H19" s="0" t="n">
        <v>16</v>
      </c>
      <c r="I19" s="0" t="n">
        <v>16</v>
      </c>
      <c r="J19" s="0" t="n">
        <v>16</v>
      </c>
      <c r="K19" s="0" t="n">
        <v>16</v>
      </c>
      <c r="L19" s="0" t="n">
        <v>16</v>
      </c>
      <c r="M19" s="0" t="n">
        <v>16</v>
      </c>
      <c r="N19" s="0" t="n">
        <v>192</v>
      </c>
    </row>
    <row r="20" customFormat="false" ht="15" hidden="false" customHeight="false" outlineLevel="0" collapsed="false">
      <c r="A20" s="2" t="s">
        <v>6</v>
      </c>
      <c r="B20" s="0" t="n">
        <v>16</v>
      </c>
      <c r="C20" s="0" t="n">
        <v>16</v>
      </c>
      <c r="D20" s="0" t="n">
        <v>16</v>
      </c>
      <c r="E20" s="0" t="n">
        <v>16</v>
      </c>
      <c r="F20" s="0" t="n">
        <v>16</v>
      </c>
      <c r="G20" s="0" t="n">
        <v>16</v>
      </c>
      <c r="H20" s="0" t="n">
        <v>16</v>
      </c>
      <c r="I20" s="0" t="n">
        <v>16</v>
      </c>
      <c r="J20" s="0" t="n">
        <v>16</v>
      </c>
      <c r="K20" s="0" t="n">
        <v>16</v>
      </c>
      <c r="L20" s="0" t="n">
        <v>16</v>
      </c>
      <c r="M20" s="0" t="n">
        <v>16</v>
      </c>
      <c r="N20" s="0" t="n">
        <v>192</v>
      </c>
    </row>
    <row r="21" customFormat="false" ht="15" hidden="false" customHeight="false" outlineLevel="0" collapsed="false">
      <c r="A21" s="2" t="s">
        <v>7</v>
      </c>
      <c r="B21" s="0" t="n">
        <v>16</v>
      </c>
      <c r="C21" s="0" t="n">
        <v>16</v>
      </c>
      <c r="D21" s="0" t="n">
        <v>16</v>
      </c>
      <c r="E21" s="0" t="n">
        <v>16</v>
      </c>
      <c r="F21" s="0" t="n">
        <v>16</v>
      </c>
      <c r="G21" s="0" t="n">
        <v>16</v>
      </c>
      <c r="H21" s="0" t="n">
        <v>16</v>
      </c>
      <c r="I21" s="0" t="n">
        <v>16</v>
      </c>
      <c r="J21" s="0" t="n">
        <v>16</v>
      </c>
      <c r="K21" s="0" t="n">
        <v>16</v>
      </c>
      <c r="L21" s="0" t="n">
        <v>16</v>
      </c>
      <c r="M21" s="0" t="n">
        <v>16</v>
      </c>
      <c r="N21" s="0" t="n">
        <v>192</v>
      </c>
    </row>
    <row r="22" customFormat="false" ht="15" hidden="false" customHeight="false" outlineLevel="0" collapsed="false">
      <c r="A22" s="2" t="s">
        <v>8</v>
      </c>
      <c r="B22" s="0" t="n">
        <v>96</v>
      </c>
      <c r="C22" s="0" t="n">
        <v>96</v>
      </c>
      <c r="D22" s="0" t="n">
        <v>96</v>
      </c>
      <c r="E22" s="0" t="n">
        <v>96</v>
      </c>
      <c r="F22" s="0" t="n">
        <v>96</v>
      </c>
      <c r="G22" s="0" t="n">
        <v>96</v>
      </c>
      <c r="H22" s="0" t="n">
        <v>96</v>
      </c>
      <c r="I22" s="0" t="n">
        <v>96</v>
      </c>
      <c r="J22" s="0" t="n">
        <v>96</v>
      </c>
      <c r="K22" s="0" t="n">
        <v>96</v>
      </c>
      <c r="L22" s="0" t="n">
        <v>96</v>
      </c>
      <c r="M22" s="0" t="n">
        <v>96</v>
      </c>
      <c r="N22" s="0" t="n">
        <v>1152</v>
      </c>
    </row>
    <row r="25" customFormat="false" ht="15" hidden="false" customHeight="false" outlineLevel="0" collapsed="false">
      <c r="A25" s="1" t="s">
        <v>10</v>
      </c>
      <c r="B25" s="1" t="s">
        <v>12</v>
      </c>
    </row>
    <row r="26" customFormat="false" ht="15" hidden="false" customHeight="false" outlineLevel="0" collapsed="false">
      <c r="A26" s="1" t="s">
        <v>0</v>
      </c>
      <c r="B26" s="0" t="s">
        <v>13</v>
      </c>
      <c r="C26" s="0" t="s">
        <v>14</v>
      </c>
      <c r="D26" s="0" t="s">
        <v>15</v>
      </c>
      <c r="E26" s="0" t="s">
        <v>16</v>
      </c>
      <c r="F26" s="0" t="s">
        <v>17</v>
      </c>
      <c r="G26" s="0" t="s">
        <v>18</v>
      </c>
      <c r="H26" s="0" t="s">
        <v>19</v>
      </c>
      <c r="I26" s="0" t="s">
        <v>20</v>
      </c>
      <c r="J26" s="0" t="s">
        <v>21</v>
      </c>
      <c r="K26" s="0" t="s">
        <v>22</v>
      </c>
      <c r="L26" s="0" t="s">
        <v>23</v>
      </c>
      <c r="M26" s="0" t="s">
        <v>24</v>
      </c>
      <c r="N26" s="0" t="s">
        <v>8</v>
      </c>
    </row>
    <row r="27" customFormat="false" ht="15" hidden="false" customHeight="false" outlineLevel="0" collapsed="false">
      <c r="A27" s="2" t="s">
        <v>25</v>
      </c>
      <c r="B27" s="3" t="n">
        <v>4.94595794563601</v>
      </c>
      <c r="C27" s="3" t="n">
        <v>2.55603860169077</v>
      </c>
      <c r="D27" s="3" t="n">
        <v>1.31656117720877</v>
      </c>
      <c r="E27" s="3" t="n">
        <v>19.9798857187256</v>
      </c>
      <c r="F27" s="3" t="n">
        <v>8.56324510140091</v>
      </c>
      <c r="G27" s="3" t="n">
        <v>8.7918048962277</v>
      </c>
      <c r="H27" s="3" t="n">
        <v>9.25832958295754</v>
      </c>
      <c r="I27" s="3" t="n">
        <v>1.57056253191863</v>
      </c>
      <c r="J27" s="3" t="n">
        <v>22.0227155455452</v>
      </c>
      <c r="K27" s="3" t="n">
        <v>9.43022622563566</v>
      </c>
      <c r="L27" s="3" t="n">
        <v>3.77491721763537</v>
      </c>
      <c r="M27" s="3" t="n">
        <v>1.65201896679992</v>
      </c>
      <c r="N27" s="3" t="n">
        <v>10.2126602469372</v>
      </c>
    </row>
    <row r="28" customFormat="false" ht="15" hidden="false" customHeight="false" outlineLevel="0" collapsed="false">
      <c r="A28" s="2" t="s">
        <v>3</v>
      </c>
      <c r="B28" s="3" t="n">
        <v>13.9974700094934</v>
      </c>
      <c r="C28" s="3" t="n">
        <v>13.4486678398519</v>
      </c>
      <c r="D28" s="3" t="n">
        <v>14.4401061861285</v>
      </c>
      <c r="E28" s="3" t="n">
        <v>14.7793493316406</v>
      </c>
      <c r="F28" s="3" t="n">
        <v>14.177299930993</v>
      </c>
      <c r="G28" s="3" t="n">
        <v>14.8434890327937</v>
      </c>
      <c r="H28" s="3" t="n">
        <v>15.7601818940434</v>
      </c>
      <c r="I28" s="3" t="n">
        <v>13.2256064763272</v>
      </c>
      <c r="J28" s="3" t="n">
        <v>12.1154171753734</v>
      </c>
      <c r="K28" s="3" t="n">
        <v>17.19302184027</v>
      </c>
      <c r="L28" s="3" t="n">
        <v>15.2665211055652</v>
      </c>
      <c r="M28" s="3" t="n">
        <v>16.9320947709766</v>
      </c>
      <c r="N28" s="3" t="n">
        <v>14.5197319779084</v>
      </c>
    </row>
    <row r="29" customFormat="false" ht="15" hidden="false" customHeight="false" outlineLevel="0" collapsed="false">
      <c r="A29" s="2" t="s">
        <v>4</v>
      </c>
      <c r="B29" s="3" t="n">
        <v>16.8274329593078</v>
      </c>
      <c r="C29" s="3" t="n">
        <v>12.3821107516718</v>
      </c>
      <c r="D29" s="3" t="n">
        <v>15.4335943102485</v>
      </c>
      <c r="E29" s="3" t="n">
        <v>18.411952639522</v>
      </c>
      <c r="F29" s="3" t="n">
        <v>14.3428263137593</v>
      </c>
      <c r="G29" s="3" t="n">
        <v>16.1347192930855</v>
      </c>
      <c r="H29" s="3" t="n">
        <v>15.5370524875216</v>
      </c>
      <c r="I29" s="3" t="n">
        <v>13.1732051275813</v>
      </c>
      <c r="J29" s="3" t="n">
        <v>13.48085061609</v>
      </c>
      <c r="K29" s="3" t="n">
        <v>14.4047156630505</v>
      </c>
      <c r="L29" s="3" t="n">
        <v>17.2374350373444</v>
      </c>
      <c r="M29" s="3" t="n">
        <v>15.3839743456191</v>
      </c>
      <c r="N29" s="3" t="n">
        <v>15.9581618880879</v>
      </c>
    </row>
    <row r="30" customFormat="false" ht="15" hidden="false" customHeight="false" outlineLevel="0" collapsed="false">
      <c r="A30" s="2" t="s">
        <v>5</v>
      </c>
      <c r="B30" s="3" t="n">
        <v>12.527137209541</v>
      </c>
      <c r="C30" s="3" t="n">
        <v>14.3364337731994</v>
      </c>
      <c r="D30" s="3" t="n">
        <v>17.0626297308865</v>
      </c>
      <c r="E30" s="3" t="n">
        <v>13.6245795042147</v>
      </c>
      <c r="F30" s="3" t="n">
        <v>13.927042040577</v>
      </c>
      <c r="G30" s="3" t="n">
        <v>14.6628782986152</v>
      </c>
      <c r="H30" s="3" t="n">
        <v>15.5336999241434</v>
      </c>
      <c r="I30" s="3" t="n">
        <v>11.3986475805977</v>
      </c>
      <c r="J30" s="3" t="n">
        <v>14.8498035901714</v>
      </c>
      <c r="K30" s="3" t="n">
        <v>14.8368909591374</v>
      </c>
      <c r="L30" s="3" t="n">
        <v>14.2242457327855</v>
      </c>
      <c r="M30" s="3" t="n">
        <v>15.8649246242563</v>
      </c>
      <c r="N30" s="3" t="n">
        <v>14.6844416350905</v>
      </c>
    </row>
    <row r="31" customFormat="false" ht="15" hidden="false" customHeight="false" outlineLevel="0" collapsed="false">
      <c r="A31" s="2" t="s">
        <v>6</v>
      </c>
      <c r="B31" s="3" t="n">
        <v>11.6840346912643</v>
      </c>
      <c r="C31" s="3" t="n">
        <v>11.6001077581202</v>
      </c>
      <c r="D31" s="3" t="n">
        <v>18.5364505771736</v>
      </c>
      <c r="E31" s="3" t="n">
        <v>15.0442403153721</v>
      </c>
      <c r="F31" s="3" t="n">
        <v>22.956480566498</v>
      </c>
      <c r="G31" s="3" t="n">
        <v>20.1062801134372</v>
      </c>
      <c r="H31" s="3" t="n">
        <v>21.8567304660754</v>
      </c>
      <c r="I31" s="3" t="n">
        <v>11.9873196892939</v>
      </c>
      <c r="J31" s="3" t="n">
        <v>11.7558496077485</v>
      </c>
      <c r="K31" s="3" t="n">
        <v>29.1490422941589</v>
      </c>
      <c r="L31" s="3" t="n">
        <v>15.9080692312633</v>
      </c>
      <c r="M31" s="3" t="n">
        <v>22.3225409246648</v>
      </c>
      <c r="N31" s="3" t="n">
        <v>18.4842326740385</v>
      </c>
    </row>
    <row r="32" customFormat="false" ht="15" hidden="false" customHeight="false" outlineLevel="0" collapsed="false">
      <c r="A32" s="2" t="s">
        <v>7</v>
      </c>
      <c r="B32" s="3" t="n">
        <v>21.8353688618565</v>
      </c>
      <c r="C32" s="3" t="n">
        <v>27.9850406467455</v>
      </c>
      <c r="D32" s="3" t="n">
        <v>28.8131191184386</v>
      </c>
      <c r="E32" s="3" t="n">
        <v>22.7581487237722</v>
      </c>
      <c r="F32" s="3" t="n">
        <v>23.8324009141617</v>
      </c>
      <c r="G32" s="3" t="n">
        <v>25.3257938342184</v>
      </c>
      <c r="H32" s="3" t="n">
        <v>21.4171854671274</v>
      </c>
      <c r="I32" s="3" t="n">
        <v>24.297805113494</v>
      </c>
      <c r="J32" s="3" t="n">
        <v>21.6208811106301</v>
      </c>
      <c r="K32" s="3" t="n">
        <v>20.2154025436052</v>
      </c>
      <c r="L32" s="3" t="n">
        <v>20.8258653281602</v>
      </c>
      <c r="M32" s="3" t="n">
        <v>27.1428320801889</v>
      </c>
      <c r="N32" s="3" t="n">
        <v>23.8291255637065</v>
      </c>
    </row>
    <row r="33" customFormat="false" ht="15" hidden="false" customHeight="false" outlineLevel="0" collapsed="false">
      <c r="A33" s="2" t="s">
        <v>8</v>
      </c>
      <c r="B33" s="3" t="n">
        <v>28.5033623747562</v>
      </c>
      <c r="C33" s="3" t="n">
        <v>28.2283607543405</v>
      </c>
      <c r="D33" s="3" t="n">
        <v>31.1883637770198</v>
      </c>
      <c r="E33" s="3" t="n">
        <v>28.0711423901436</v>
      </c>
      <c r="F33" s="3" t="n">
        <v>29.0341884831864</v>
      </c>
      <c r="G33" s="3" t="n">
        <v>28.5889482235062</v>
      </c>
      <c r="H33" s="3" t="n">
        <v>29.8099168122099</v>
      </c>
      <c r="I33" s="3" t="n">
        <v>29.1931784269316</v>
      </c>
      <c r="J33" s="3" t="n">
        <v>28.6948995253848</v>
      </c>
      <c r="K33" s="3" t="n">
        <v>28.3435050111271</v>
      </c>
      <c r="L33" s="3" t="n">
        <v>26.2599605162649</v>
      </c>
      <c r="M33" s="3" t="n">
        <v>28.7003805219593</v>
      </c>
      <c r="N33" s="3" t="n">
        <v>28.6761895273833</v>
      </c>
    </row>
    <row r="37" customFormat="false" ht="15" hidden="false" customHeight="false" outlineLevel="0" collapsed="false">
      <c r="A37" s="0" t="str">
        <f aca="false">A26</f>
        <v>Row Labels</v>
      </c>
      <c r="B37" s="3"/>
    </row>
    <row r="38" customFormat="false" ht="15" hidden="false" customHeight="false" outlineLevel="0" collapsed="false">
      <c r="A38" s="0" t="str">
        <f aca="false">A27</f>
        <v>1 Direct</v>
      </c>
      <c r="B38" s="3" t="n">
        <f aca="false">_xlfn.CONFIDENCE.NORM(0.05,B27,B16)</f>
        <v>2.42347486062407</v>
      </c>
      <c r="C38" s="3" t="n">
        <f aca="false">_xlfn.CONFIDENCE.NORM(0.05,C27,C16)</f>
        <v>1.25243590060201</v>
      </c>
      <c r="D38" s="3" t="n">
        <f aca="false">_xlfn.CONFIDENCE.NORM(0.05,D27,D16)</f>
        <v>0.645103122693209</v>
      </c>
      <c r="E38" s="3" t="n">
        <f aca="false">_xlfn.CONFIDENCE.NORM(0.05,E27,E16)</f>
        <v>9.78996410598206</v>
      </c>
      <c r="F38" s="3" t="n">
        <f aca="false">_xlfn.CONFIDENCE.NORM(0.05,F27,F16)</f>
        <v>4.19591299738371</v>
      </c>
      <c r="G38" s="3" t="n">
        <f aca="false">_xlfn.CONFIDENCE.NORM(0.05,G27,G16)</f>
        <v>4.3079052389273</v>
      </c>
      <c r="H38" s="3" t="n">
        <f aca="false">_xlfn.CONFIDENCE.NORM(0.05,H27,H16)</f>
        <v>4.53649813489963</v>
      </c>
      <c r="I38" s="3" t="n">
        <f aca="false">_xlfn.CONFIDENCE.NORM(0.05,I27,I16)</f>
        <v>0.76956149950714</v>
      </c>
      <c r="J38" s="3" t="n">
        <f aca="false">_xlfn.CONFIDENCE.NORM(0.05,J27,J16)</f>
        <v>10.7909323277598</v>
      </c>
      <c r="K38" s="3" t="n">
        <f aca="false">_xlfn.CONFIDENCE.NORM(0.05,K27,K16)</f>
        <v>4.62072594207775</v>
      </c>
      <c r="L38" s="3" t="n">
        <f aca="false">_xlfn.CONFIDENCE.NORM(0.05,L27,L16)</f>
        <v>1.84967544779637</v>
      </c>
      <c r="M38" s="3" t="n">
        <f aca="false">_xlfn.CONFIDENCE.NORM(0.05,M27,M16)</f>
        <v>0.809474419176227</v>
      </c>
      <c r="N38" s="3" t="n">
        <f aca="false">_xlfn.CONFIDENCE.NORM(0.05,N27,N16)</f>
        <v>1.44456258030012</v>
      </c>
    </row>
    <row r="39" customFormat="false" ht="15" hidden="false" customHeight="false" outlineLevel="0" collapsed="false">
      <c r="A39" s="0" t="str">
        <f aca="false">A28</f>
        <v>2 LP 3.5kHz</v>
      </c>
      <c r="B39" s="3" t="n">
        <f aca="false">_xlfn.CONFIDENCE.NORM(0.05,B28,B17)</f>
        <v>6.85863427332164</v>
      </c>
      <c r="C39" s="3" t="n">
        <f aca="false">_xlfn.CONFIDENCE.NORM(0.05,C28,C17)</f>
        <v>6.58972615153795</v>
      </c>
      <c r="D39" s="3" t="n">
        <f aca="false">_xlfn.CONFIDENCE.NORM(0.05,D28,D17)</f>
        <v>7.07552201443647</v>
      </c>
      <c r="E39" s="3" t="n">
        <f aca="false">_xlfn.CONFIDENCE.NORM(0.05,E28,E17)</f>
        <v>7.24174810123794</v>
      </c>
      <c r="F39" s="3" t="n">
        <f aca="false">_xlfn.CONFIDENCE.NORM(0.05,F28,F17)</f>
        <v>6.9467493156921</v>
      </c>
      <c r="G39" s="3" t="n">
        <f aca="false">_xlfn.CONFIDENCE.NORM(0.05,G28,G17)</f>
        <v>7.27317597729773</v>
      </c>
      <c r="H39" s="3" t="n">
        <f aca="false">_xlfn.CONFIDENCE.NORM(0.05,H28,H17)</f>
        <v>7.72234722553133</v>
      </c>
      <c r="I39" s="3" t="n">
        <f aca="false">_xlfn.CONFIDENCE.NORM(0.05,I28,I17)</f>
        <v>6.48042809182523</v>
      </c>
      <c r="J39" s="3" t="n">
        <f aca="false">_xlfn.CONFIDENCE.NORM(0.05,J28,J17)</f>
        <v>5.93644533035247</v>
      </c>
      <c r="K39" s="3" t="n">
        <f aca="false">_xlfn.CONFIDENCE.NORM(0.05,K28,K17)</f>
        <v>8.42442589808492</v>
      </c>
      <c r="L39" s="3" t="n">
        <f aca="false">_xlfn.CONFIDENCE.NORM(0.05,L28,L17)</f>
        <v>7.48045788403208</v>
      </c>
      <c r="M39" s="3" t="n">
        <f aca="false">_xlfn.CONFIDENCE.NORM(0.05,M28,M17)</f>
        <v>8.29657398348328</v>
      </c>
      <c r="N39" s="3" t="n">
        <f aca="false">_xlfn.CONFIDENCE.NORM(0.05,N28,N17)</f>
        <v>2.05379019610135</v>
      </c>
    </row>
    <row r="40" customFormat="false" ht="15" hidden="false" customHeight="false" outlineLevel="0" collapsed="false">
      <c r="A40" s="0" t="str">
        <f aca="false">A29</f>
        <v>3 Spline-up 7kHz</v>
      </c>
      <c r="B40" s="3" t="n">
        <f aca="false">_xlfn.CONFIDENCE.NORM(0.05,B29,B18)</f>
        <v>8.24529063812641</v>
      </c>
      <c r="C40" s="3" t="n">
        <f aca="false">_xlfn.CONFIDENCE.NORM(0.05,C29,C18)</f>
        <v>6.06712278146573</v>
      </c>
      <c r="D40" s="3" t="n">
        <f aca="false">_xlfn.CONFIDENCE.NORM(0.05,D29,D18)</f>
        <v>7.56232225002231</v>
      </c>
      <c r="E40" s="3" t="n">
        <f aca="false">_xlfn.CONFIDENCE.NORM(0.05,E29,E18)</f>
        <v>9.02169101463006</v>
      </c>
      <c r="F40" s="3" t="n">
        <f aca="false">_xlfn.CONFIDENCE.NORM(0.05,F29,F18)</f>
        <v>7.02785575287041</v>
      </c>
      <c r="G40" s="3" t="n">
        <f aca="false">_xlfn.CONFIDENCE.NORM(0.05,G29,G18)</f>
        <v>7.9058671787778</v>
      </c>
      <c r="H40" s="3" t="n">
        <f aca="false">_xlfn.CONFIDENCE.NORM(0.05,H29,H18)</f>
        <v>7.61301582536268</v>
      </c>
      <c r="I40" s="3" t="n">
        <f aca="false">_xlfn.CONFIDENCE.NORM(0.05,I29,I18)</f>
        <v>6.45475190275441</v>
      </c>
      <c r="J40" s="3" t="n">
        <f aca="false">_xlfn.CONFIDENCE.NORM(0.05,J29,J18)</f>
        <v>6.60549542212523</v>
      </c>
      <c r="K40" s="3" t="n">
        <f aca="false">_xlfn.CONFIDENCE.NORM(0.05,K29,K18)</f>
        <v>7.05818097677976</v>
      </c>
      <c r="L40" s="3" t="n">
        <f aca="false">_xlfn.CONFIDENCE.NORM(0.05,L29,L18)</f>
        <v>8.44618796476094</v>
      </c>
      <c r="M40" s="3" t="n">
        <f aca="false">_xlfn.CONFIDENCE.NORM(0.05,M29,M18)</f>
        <v>7.53800891412539</v>
      </c>
      <c r="N40" s="3" t="n">
        <f aca="false">_xlfn.CONFIDENCE.NORM(0.05,N29,N18)</f>
        <v>2.2572535418298</v>
      </c>
    </row>
    <row r="41" customFormat="false" ht="15" hidden="false" customHeight="false" outlineLevel="0" collapsed="false">
      <c r="A41" s="0" t="str">
        <f aca="false">A30</f>
        <v>4 Audiounet</v>
      </c>
      <c r="B41" s="3" t="n">
        <f aca="false">_xlfn.CONFIDENCE.NORM(0.05,B30,B19)</f>
        <v>6.13818444002299</v>
      </c>
      <c r="C41" s="3" t="n">
        <f aca="false">_xlfn.CONFIDENCE.NORM(0.05,C30,C19)</f>
        <v>7.02472346555364</v>
      </c>
      <c r="D41" s="3" t="n">
        <f aca="false">_xlfn.CONFIDENCE.NORM(0.05,D30,D19)</f>
        <v>8.36053493851999</v>
      </c>
      <c r="E41" s="3" t="n">
        <f aca="false">_xlfn.CONFIDENCE.NORM(0.05,E30,E19)</f>
        <v>6.67592128319084</v>
      </c>
      <c r="F41" s="3" t="n">
        <f aca="false">_xlfn.CONFIDENCE.NORM(0.05,F30,F19)</f>
        <v>6.82412520267655</v>
      </c>
      <c r="G41" s="3" t="n">
        <f aca="false">_xlfn.CONFIDENCE.NORM(0.05,G30,G19)</f>
        <v>7.18467834374492</v>
      </c>
      <c r="H41" s="3" t="n">
        <f aca="false">_xlfn.CONFIDENCE.NORM(0.05,H30,H19)</f>
        <v>7.61137309949342</v>
      </c>
      <c r="I41" s="3" t="n">
        <f aca="false">_xlfn.CONFIDENCE.NORM(0.05,I30,I19)</f>
        <v>5.58523468260905</v>
      </c>
      <c r="J41" s="3" t="n">
        <f aca="false">_xlfn.CONFIDENCE.NORM(0.05,J30,J19)</f>
        <v>7.27627005355737</v>
      </c>
      <c r="K41" s="3" t="n">
        <f aca="false">_xlfn.CONFIDENCE.NORM(0.05,K30,K19)</f>
        <v>7.26994298061431</v>
      </c>
      <c r="L41" s="3" t="n">
        <f aca="false">_xlfn.CONFIDENCE.NORM(0.05,L30,L19)</f>
        <v>6.96975233587678</v>
      </c>
      <c r="M41" s="3" t="n">
        <f aca="false">_xlfn.CONFIDENCE.NORM(0.05,M30,M19)</f>
        <v>7.77367022024624</v>
      </c>
      <c r="N41" s="3" t="n">
        <f aca="false">_xlfn.CONFIDENCE.NORM(0.05,N30,N19)</f>
        <v>2.07708808339283</v>
      </c>
    </row>
    <row r="42" customFormat="false" ht="15" hidden="false" customHeight="false" outlineLevel="0" collapsed="false">
      <c r="A42" s="0" t="str">
        <f aca="false">A31</f>
        <v>5 GAN</v>
      </c>
      <c r="B42" s="3" t="n">
        <f aca="false">_xlfn.CONFIDENCE.NORM(0.05,B31,B20)</f>
        <v>5.72507179724863</v>
      </c>
      <c r="C42" s="3" t="n">
        <f aca="false">_xlfn.CONFIDENCE.NORM(0.05,C31,C20)</f>
        <v>5.6839483556748</v>
      </c>
      <c r="D42" s="3" t="n">
        <f aca="false">_xlfn.CONFIDENCE.NORM(0.05,D31,D20)</f>
        <v>9.08269388311674</v>
      </c>
      <c r="E42" s="3" t="n">
        <f aca="false">_xlfn.CONFIDENCE.NORM(0.05,E31,E20)</f>
        <v>7.37154229822369</v>
      </c>
      <c r="F42" s="3" t="n">
        <f aca="false">_xlfn.CONFIDENCE.NORM(0.05,F31,F20)</f>
        <v>11.2484687805324</v>
      </c>
      <c r="G42" s="3" t="n">
        <f aca="false">_xlfn.CONFIDENCE.NORM(0.05,G31,G20)</f>
        <v>9.8518962213527</v>
      </c>
      <c r="H42" s="3" t="n">
        <f aca="false">_xlfn.CONFIDENCE.NORM(0.05,H31,H20)</f>
        <v>10.7096011333268</v>
      </c>
      <c r="I42" s="3" t="n">
        <f aca="false">_xlfn.CONFIDENCE.NORM(0.05,I31,I20)</f>
        <v>5.87367871554598</v>
      </c>
      <c r="J42" s="3" t="n">
        <f aca="false">_xlfn.CONFIDENCE.NORM(0.05,J31,J20)</f>
        <v>5.76026045971408</v>
      </c>
      <c r="K42" s="3" t="n">
        <f aca="false">_xlfn.CONFIDENCE.NORM(0.05,K31,K20)</f>
        <v>14.2827682700966</v>
      </c>
      <c r="L42" s="3" t="n">
        <f aca="false">_xlfn.CONFIDENCE.NORM(0.05,L31,L20)</f>
        <v>7.79481068921147</v>
      </c>
      <c r="M42" s="3" t="n">
        <f aca="false">_xlfn.CONFIDENCE.NORM(0.05,M31,M20)</f>
        <v>10.9378440639411</v>
      </c>
      <c r="N42" s="3" t="n">
        <f aca="false">_xlfn.CONFIDENCE.NORM(0.05,N31,N20)</f>
        <v>2.61456174991083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LibreOffice/7.1.8.1$Linux_X86_64 LibreOffice_project/10$Build-1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2025-03-17T10:17:12Z</dcterms:created>
  <dc:creator>Henri Toukomaa (Nokia)</dc:creator>
  <dc:description/>
  <dc:language>en-GB</dc:language>
  <cp:lastModifiedBy/>
  <dcterms:modified xsi:type="dcterms:W3CDTF">2025-03-17T13:20:21Z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